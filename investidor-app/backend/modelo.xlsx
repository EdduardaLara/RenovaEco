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<sst xmlns="http://schemas.openxmlformats.org/spreadsheetml/2006/main" count="13" uniqueCount="13">
  <si>
    <t>CONCESSIONÁRIA</t>
  </si>
  <si>
    <t>ELEKTRO</t>
  </si>
  <si>
    <t xml:space="preserve">RELATÓRIO REF COBRANÇAS </t>
  </si>
  <si>
    <t>REPASSE INVESTIDOR FEV - 26</t>
  </si>
  <si>
    <t>kWh Compensado pelo Consumidor (kHW)</t>
  </si>
  <si>
    <t>Saldo Total do Consumidor (kWh)</t>
  </si>
  <si>
    <t>Faturas RenovaEco Cobradas e Recebidas</t>
  </si>
  <si>
    <t>Faturas RenovaEco Inadimplentes Acumuladas(Neofin)</t>
  </si>
  <si>
    <t>Tarifa Base Concessionária</t>
  </si>
  <si>
    <t>Economia do cooperado com RenovaEco</t>
  </si>
  <si>
    <t>Taxa de Adm RenovaEco (13% sobre a Economia)</t>
  </si>
  <si>
    <t>Conta de Energia Usina</t>
  </si>
  <si>
    <t>REPASSE LÍQUIDO AO INVESTIDOR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</si>
</sst>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7">
    <font>
      <sz val="10.0"/>
      <color rgb="FF000000"/>
      <name val="Arial"/>
      <scheme val="minor"/>
    </font>
    <font>
      <b/>
      <sz val="12.0"/>
      <color theme="1"/>
      <name val="Aptos Narrow"/>
    </font>
    <font>
      <b/>
      <sz val="12.0"/>
      <color theme="1"/>
      <name val="Arial"/>
    </font>
    <font>
      <sz val="12.0"/>
      <color theme="1"/>
      <name val="Aptos Narrow"/>
    </font>
    <font>
      <sz val="11.0"/>
      <color theme="1"/>
      <name val="Arial"/>
    </font>
    <font>
      <sz val="12.0"/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vertical="bottom"/>
    </xf>
    <xf borderId="1" fillId="3" fontId="4" numFmtId="3" xfId="0" applyAlignment="1" applyBorder="1" applyFill="1" applyFont="1" applyNumberFormat="1">
      <alignment horizontal="right" vertical="bottom"/>
    </xf>
    <xf borderId="1" fillId="3" fontId="4" numFmtId="164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vertical="bottom"/>
    </xf>
    <xf borderId="1" fillId="3" fontId="6" numFmtId="164" xfId="0" applyAlignment="1" applyBorder="1" applyFont="1" applyNumberFormat="1">
      <alignment vertical="bottom"/>
    </xf>
    <xf borderId="1" fillId="0" fontId="5" numFmtId="164" xfId="0" applyAlignment="1" applyBorder="1" applyFont="1" applyNumberForma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1" fillId="4" fontId="6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88"/>
    <col customWidth="1" min="2" max="2" width="36.38"/>
  </cols>
  <sheetData>
    <row r="1">
      <c r="A1" s="1" t="s">
        <v>0</v>
      </c>
      <c r="B1" s="2" t="s">
        <v>1</v>
      </c>
    </row>
    <row r="2">
      <c r="A2" s="3" t="s">
        <v>2</v>
      </c>
      <c r="B2" s="2" t="s">
        <v>3</v>
      </c>
    </row>
    <row r="3">
      <c r="A3" s="4" t="s">
        <v>4</v>
      </c>
      <c r="B3" s="5">
        <v>9965.0</v>
      </c>
    </row>
    <row r="4">
      <c r="A4" s="4" t="s">
        <v>5</v>
      </c>
      <c r="B4" s="5">
        <v>93080.0</v>
      </c>
    </row>
    <row r="5">
      <c r="A5" s="4" t="s">
        <v>6</v>
      </c>
      <c r="B5" s="6">
        <v>6506.1</v>
      </c>
    </row>
    <row r="6">
      <c r="A6" s="7" t="s">
        <v>7</v>
      </c>
      <c r="B6" s="8"/>
    </row>
    <row r="7">
      <c r="A7" s="4" t="s">
        <v>8</v>
      </c>
      <c r="B7" s="9">
        <v>0.96</v>
      </c>
    </row>
    <row r="8">
      <c r="A8" s="7" t="s">
        <v>9</v>
      </c>
      <c r="B8" s="9">
        <f>B5/0.8</f>
        <v>8132.625</v>
      </c>
    </row>
    <row r="9">
      <c r="A9" s="4" t="s">
        <v>10</v>
      </c>
      <c r="B9" s="10">
        <f>B5*0.13</f>
        <v>845.793</v>
      </c>
    </row>
    <row r="10">
      <c r="A10" s="4" t="s">
        <v>11</v>
      </c>
      <c r="B10" s="11"/>
    </row>
    <row r="11">
      <c r="A11" s="4" t="s">
        <v>12</v>
      </c>
      <c r="B11" s="10">
        <f>B5-B9</f>
        <v>5660.307</v>
      </c>
    </row>
  </sheetData>
  <drawing r:id="rId1"/>
</worksheet>
</file>